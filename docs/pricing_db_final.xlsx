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 tabRatio="500" activeTab="1"/>
  </bookViews>
  <sheets>
    <sheet name="pricing_db" sheetId="1" r:id="rId1"/>
    <sheet name="成本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<sst xmlns="http://schemas.openxmlformats.org/spreadsheetml/2006/main" count="103" uniqueCount="64">
  <si>
    <t>model</t>
  </si>
  <si>
    <t>prompt</t>
  </si>
  <si>
    <t>completion</t>
  </si>
  <si>
    <t>image</t>
  </si>
  <si>
    <t>audio</t>
  </si>
  <si>
    <t>internal_reasoning</t>
  </si>
  <si>
    <t>input_cache_read</t>
  </si>
  <si>
    <t>input_cache_write</t>
  </si>
  <si>
    <t>web_search</t>
  </si>
  <si>
    <r>
      <rPr>
        <b/>
        <sz val="10"/>
        <color rgb="FFFFFFFF"/>
        <rFont val="Noto Sans CJK SC"/>
        <charset val="134"/>
      </rPr>
      <t>套餐</t>
    </r>
    <r>
      <rPr>
        <b/>
        <sz val="10"/>
        <color rgb="FFFFFFFF"/>
        <rFont val="Arial"/>
        <charset val="1"/>
      </rPr>
      <t>A</t>
    </r>
  </si>
  <si>
    <r>
      <rPr>
        <b/>
        <sz val="10"/>
        <color rgb="FFFFFFFF"/>
        <rFont val="Noto Sans CJK SC"/>
        <charset val="134"/>
      </rPr>
      <t>套餐</t>
    </r>
    <r>
      <rPr>
        <b/>
        <sz val="10"/>
        <color rgb="FFFFFFFF"/>
        <rFont val="Arial"/>
        <charset val="1"/>
      </rPr>
      <t>B</t>
    </r>
  </si>
  <si>
    <r>
      <rPr>
        <b/>
        <sz val="10"/>
        <color rgb="FFFFFFFF"/>
        <rFont val="Noto Sans CJK SC"/>
        <charset val="134"/>
      </rPr>
      <t>套餐</t>
    </r>
    <r>
      <rPr>
        <b/>
        <sz val="10"/>
        <color rgb="FFFFFFFF"/>
        <rFont val="Arial"/>
        <charset val="1"/>
      </rPr>
      <t>C</t>
    </r>
  </si>
  <si>
    <t>anthropic/claude-3.5-haiku</t>
  </si>
  <si>
    <t>anthropic/claude-3.5-sonnet</t>
  </si>
  <si>
    <t>anthropic/claude-3.7-sonnet</t>
  </si>
  <si>
    <t>anthropic/claude-3.7-sonnet:thinking</t>
  </si>
  <si>
    <t>anthropic/claude-3-haiku</t>
  </si>
  <si>
    <t>anthropic/claude-haiku-4.5</t>
  </si>
  <si>
    <t>anthropic/claude-opus-4</t>
  </si>
  <si>
    <t>anthropic/claude-opus-4.1</t>
  </si>
  <si>
    <t>anthropic/claude-opus-4.5</t>
  </si>
  <si>
    <t>anthropic/claude-opus-4.6</t>
  </si>
  <si>
    <t>anthropic/claude-sonnet-4.6</t>
  </si>
  <si>
    <t>google/gemini-2.0-flash-001</t>
  </si>
  <si>
    <t>google/gemini-2.0-flash-lite-001</t>
  </si>
  <si>
    <t>google/gemini-2.5-flash</t>
  </si>
  <si>
    <t>google/gemini-2.5-flash-lite-preview-09-2025</t>
  </si>
  <si>
    <t>google/gemini-2.5-pro-preview</t>
  </si>
  <si>
    <t>google/gemini-3.1-flash-image-preview</t>
  </si>
  <si>
    <t>google/gemini-3.1-flash-lite-preview</t>
  </si>
  <si>
    <t>google/gemini-3.1-pro-preview</t>
  </si>
  <si>
    <t>google/gemini-3-flash-preview</t>
  </si>
  <si>
    <t>google/gemini-3-pro-preview</t>
  </si>
  <si>
    <t>google/gemma-3-27b-it</t>
  </si>
  <si>
    <t>google/gemma-3-4b-it</t>
  </si>
  <si>
    <t>google/gemma-3n-e2b-it:free</t>
  </si>
  <si>
    <t>google/gemma-3n-e4b-it</t>
  </si>
  <si>
    <t>openai/gpt-3.5-turbo-0613</t>
  </si>
  <si>
    <t>openai/gpt-4.1</t>
  </si>
  <si>
    <t>openai/gpt-4.1-mini</t>
  </si>
  <si>
    <t>openai/gpt-4o-mini</t>
  </si>
  <si>
    <t>openai/gpt-4-turbo</t>
  </si>
  <si>
    <t>openai/gpt-5.1-codex</t>
  </si>
  <si>
    <t>openai/gpt-5.1</t>
  </si>
  <si>
    <t>openai/gpt-5.4</t>
  </si>
  <si>
    <t>openai/gpt-5-image</t>
  </si>
  <si>
    <t>openai/gpt-5-mini</t>
  </si>
  <si>
    <t>openai/gpt-5-nano</t>
  </si>
  <si>
    <t>openai/gpt-oss-120b</t>
  </si>
  <si>
    <t>openai/o3</t>
  </si>
  <si>
    <t>openai/o3-mini</t>
  </si>
  <si>
    <t>openai/o3-mini-high</t>
  </si>
  <si>
    <r>
      <rPr>
        <b/>
        <sz val="10"/>
        <rFont val="Noto Sans CJK SC"/>
        <charset val="134"/>
      </rPr>
      <t>模型</t>
    </r>
    <r>
      <rPr>
        <b/>
        <sz val="10"/>
        <rFont val="Arial"/>
        <charset val="1"/>
      </rPr>
      <t>/</t>
    </r>
    <r>
      <rPr>
        <b/>
        <sz val="10"/>
        <rFont val="Noto Sans CJK SC"/>
        <charset val="134"/>
      </rPr>
      <t>指标</t>
    </r>
  </si>
  <si>
    <r>
      <rPr>
        <b/>
        <sz val="10"/>
        <rFont val="Noto Sans CJK SC"/>
        <charset val="134"/>
      </rPr>
      <t>套餐</t>
    </r>
    <r>
      <rPr>
        <b/>
        <sz val="10"/>
        <rFont val="Arial"/>
        <charset val="1"/>
      </rPr>
      <t>A</t>
    </r>
  </si>
  <si>
    <r>
      <rPr>
        <b/>
        <sz val="10"/>
        <rFont val="Noto Sans CJK SC"/>
        <charset val="134"/>
      </rPr>
      <t>套餐</t>
    </r>
    <r>
      <rPr>
        <b/>
        <sz val="10"/>
        <rFont val="Arial"/>
        <charset val="1"/>
      </rPr>
      <t>B</t>
    </r>
  </si>
  <si>
    <r>
      <rPr>
        <b/>
        <sz val="10"/>
        <rFont val="Noto Sans CJK SC"/>
        <charset val="134"/>
      </rPr>
      <t>套餐</t>
    </r>
    <r>
      <rPr>
        <b/>
        <sz val="10"/>
        <rFont val="Arial"/>
        <charset val="1"/>
      </rPr>
      <t>C</t>
    </r>
  </si>
  <si>
    <r>
      <rPr>
        <b/>
        <sz val="9"/>
        <rFont val="Noto Sans CJK SC"/>
        <charset val="134"/>
      </rPr>
      <t xml:space="preserve">── 选用模型 </t>
    </r>
    <r>
      <rPr>
        <b/>
        <sz val="9"/>
        <rFont val="Arial"/>
        <charset val="1"/>
      </rPr>
      <t>prompt ($/1M)</t>
    </r>
  </si>
  <si>
    <t>—</t>
  </si>
  <si>
    <r>
      <rPr>
        <b/>
        <sz val="9"/>
        <rFont val="Noto Sans CJK SC"/>
        <charset val="134"/>
      </rPr>
      <t xml:space="preserve">── 选用模型 </t>
    </r>
    <r>
      <rPr>
        <b/>
        <sz val="9"/>
        <rFont val="Arial"/>
        <charset val="1"/>
      </rPr>
      <t>completion ($/1M)</t>
    </r>
  </si>
  <si>
    <r>
      <rPr>
        <b/>
        <sz val="9"/>
        <rFont val="Noto Sans CJK SC"/>
        <charset val="134"/>
      </rPr>
      <t xml:space="preserve">── 均价 </t>
    </r>
    <r>
      <rPr>
        <b/>
        <sz val="9"/>
        <rFont val="Arial"/>
        <charset val="1"/>
      </rPr>
      <t xml:space="preserve">&amp; </t>
    </r>
    <r>
      <rPr>
        <b/>
        <sz val="9"/>
        <rFont val="Noto Sans CJK SC"/>
        <charset val="134"/>
      </rPr>
      <t>成本估算</t>
    </r>
  </si>
  <si>
    <r>
      <rPr>
        <i/>
        <sz val="8"/>
        <color rgb="FF888888"/>
        <rFont val="Noto Sans CJK SC"/>
        <charset val="134"/>
      </rPr>
      <t xml:space="preserve">用量假设：月均输入 </t>
    </r>
    <r>
      <rPr>
        <i/>
        <sz val="8"/>
        <color rgb="FF888888"/>
        <rFont val="Arial"/>
        <charset val="1"/>
      </rPr>
      <t>300K tokens</t>
    </r>
    <r>
      <rPr>
        <i/>
        <sz val="8"/>
        <color rgb="FF888888"/>
        <rFont val="Noto Sans CJK SC"/>
        <charset val="134"/>
      </rPr>
      <t xml:space="preserve">，输出 </t>
    </r>
    <r>
      <rPr>
        <i/>
        <sz val="8"/>
        <color rgb="FF888888"/>
        <rFont val="Arial"/>
        <charset val="1"/>
      </rPr>
      <t>100K tokens</t>
    </r>
  </si>
  <si>
    <r>
      <rPr>
        <sz val="9"/>
        <rFont val="Noto Sans CJK SC"/>
        <charset val="134"/>
      </rPr>
      <t xml:space="preserve">平均 </t>
    </r>
    <r>
      <rPr>
        <sz val="9"/>
        <rFont val="Arial"/>
        <charset val="1"/>
      </rPr>
      <t>prompt ($/1M)</t>
    </r>
  </si>
  <si>
    <r>
      <rPr>
        <sz val="9"/>
        <rFont val="Noto Sans CJK SC"/>
        <charset val="134"/>
      </rPr>
      <t xml:space="preserve">平均 </t>
    </r>
    <r>
      <rPr>
        <sz val="9"/>
        <rFont val="Arial"/>
        <charset val="1"/>
      </rPr>
      <t>completion ($/1M)</t>
    </r>
  </si>
  <si>
    <r>
      <rPr>
        <b/>
        <sz val="9"/>
        <rFont val="Noto Sans CJK SC"/>
        <charset val="134"/>
      </rPr>
      <t>月</t>
    </r>
    <r>
      <rPr>
        <b/>
        <sz val="9"/>
        <rFont val="Arial"/>
        <charset val="1"/>
      </rPr>
      <t>API</t>
    </r>
    <r>
      <rPr>
        <b/>
        <sz val="9"/>
        <rFont val="Noto Sans CJK SC"/>
        <charset val="134"/>
      </rPr>
      <t>成本</t>
    </r>
    <r>
      <rPr>
        <b/>
        <sz val="9"/>
        <rFont val="Arial"/>
        <charset val="1"/>
      </rPr>
      <t>/</t>
    </r>
    <r>
      <rPr>
        <b/>
        <sz val="9"/>
        <rFont val="Noto Sans CJK SC"/>
        <charset val="134"/>
      </rPr>
      <t>用户（元，</t>
    </r>
    <r>
      <rPr>
        <b/>
        <sz val="9"/>
        <rFont val="Arial"/>
        <charset val="1"/>
      </rPr>
      <t>×7.3</t>
    </r>
    <r>
      <rPr>
        <b/>
        <sz val="9"/>
        <rFont val="Noto Sans CJK SC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</si>
</sst>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</numFmts>
  <fonts count="33">
    <font>
      <sz val="11"/>
      <color theme="1"/>
      <name val="Calibri"/>
      <charset val="1"/>
    </font>
    <font>
      <b/>
      <sz val="10"/>
      <name val="Noto Sans CJK SC"/>
      <charset val="134"/>
    </font>
    <font>
      <b/>
      <sz val="9"/>
      <name val="Noto Sans CJK SC"/>
      <charset val="134"/>
    </font>
    <font>
      <sz val="9"/>
      <name val="Arial"/>
      <charset val="1"/>
    </font>
    <font>
      <i/>
      <sz val="8"/>
      <color rgb="FF888888"/>
      <name val="Noto Sans CJK SC"/>
      <charset val="134"/>
    </font>
    <font>
      <sz val="9"/>
      <name val="Noto Sans CJK SC"/>
      <charset val="134"/>
    </font>
    <font>
      <b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Noto Sans CJK SC"/>
      <charset val="134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8"/>
      <color rgb="FF888888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8888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workbookViewId="0">
      <selection activeCell="A1" sqref="A1"/>
    </sheetView>
  </sheetViews>
  <sheetFormatPr defaultColWidth="8.68181818181818" defaultRowHeight="14.5"/>
  <cols>
    <col min="1" max="1" width="42" customWidth="1"/>
    <col min="3" max="13" width="10" customWidth="1"/>
  </cols>
  <sheetData>
    <row r="1" ht="27.75" customHeight="1" spans="1:1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3" t="s">
        <v>9</v>
      </c>
      <c r="K1" s="13" t="s">
        <v>10</v>
      </c>
      <c r="L1" s="13" t="s">
        <v>11</v>
      </c>
    </row>
    <row r="2" ht="15.75" customHeight="1" spans="1:12">
      <c r="A2" s="11" t="s">
        <v>12</v>
      </c>
      <c r="B2" s="12">
        <v>0.8</v>
      </c>
      <c r="C2" s="12">
        <v>4</v>
      </c>
      <c r="D2" s="12"/>
      <c r="E2" s="12"/>
      <c r="F2" s="12"/>
      <c r="G2" s="12">
        <v>0.08</v>
      </c>
      <c r="H2" s="12">
        <v>1</v>
      </c>
      <c r="I2" s="12">
        <v>10</v>
      </c>
      <c r="J2" s="12">
        <v>0</v>
      </c>
      <c r="K2" s="12">
        <v>0</v>
      </c>
      <c r="L2" s="12">
        <v>0</v>
      </c>
    </row>
    <row r="3" ht="15.75" customHeight="1" spans="1:12">
      <c r="A3" s="11" t="s">
        <v>13</v>
      </c>
      <c r="B3" s="12">
        <v>6</v>
      </c>
      <c r="C3" s="12">
        <v>30</v>
      </c>
      <c r="D3" s="12"/>
      <c r="E3" s="12"/>
      <c r="F3" s="12"/>
      <c r="G3" s="12">
        <v>0.6</v>
      </c>
      <c r="H3" s="12">
        <v>7.5</v>
      </c>
      <c r="I3" s="12"/>
      <c r="J3" s="12">
        <v>0</v>
      </c>
      <c r="K3" s="12">
        <v>0</v>
      </c>
      <c r="L3" s="12">
        <v>0</v>
      </c>
    </row>
    <row r="4" ht="15.75" customHeight="1" spans="1:12">
      <c r="A4" s="11" t="s">
        <v>14</v>
      </c>
      <c r="B4" s="12">
        <v>3</v>
      </c>
      <c r="C4" s="12">
        <v>15</v>
      </c>
      <c r="D4" s="12"/>
      <c r="E4" s="12"/>
      <c r="F4" s="12"/>
      <c r="G4" s="12">
        <v>0.3</v>
      </c>
      <c r="H4" s="12">
        <v>3.75</v>
      </c>
      <c r="I4" s="12">
        <v>10</v>
      </c>
      <c r="J4" s="12">
        <v>0</v>
      </c>
      <c r="K4" s="14">
        <v>1</v>
      </c>
      <c r="L4" s="14">
        <v>1</v>
      </c>
    </row>
    <row r="5" ht="15.75" customHeight="1" spans="1:12">
      <c r="A5" s="11" t="s">
        <v>15</v>
      </c>
      <c r="B5" s="12">
        <v>3</v>
      </c>
      <c r="C5" s="12">
        <v>15</v>
      </c>
      <c r="D5" s="12"/>
      <c r="E5" s="12"/>
      <c r="F5" s="12"/>
      <c r="G5" s="12">
        <v>0.3</v>
      </c>
      <c r="H5" s="12">
        <v>3.75</v>
      </c>
      <c r="I5" s="12">
        <v>10</v>
      </c>
      <c r="J5" s="12">
        <v>0</v>
      </c>
      <c r="K5" s="12">
        <v>0</v>
      </c>
      <c r="L5" s="12">
        <v>0</v>
      </c>
    </row>
    <row r="6" ht="15.75" customHeight="1" spans="1:12">
      <c r="A6" s="11" t="s">
        <v>16</v>
      </c>
      <c r="B6" s="12">
        <v>0.25</v>
      </c>
      <c r="C6" s="12">
        <v>1.25</v>
      </c>
      <c r="D6" s="12"/>
      <c r="E6" s="12"/>
      <c r="F6" s="12"/>
      <c r="G6" s="12">
        <v>0.03</v>
      </c>
      <c r="H6" s="12">
        <v>0.3</v>
      </c>
      <c r="I6" s="12"/>
      <c r="J6" s="12">
        <v>0</v>
      </c>
      <c r="K6" s="12">
        <v>0</v>
      </c>
      <c r="L6" s="12">
        <v>0</v>
      </c>
    </row>
    <row r="7" ht="15.75" customHeight="1" spans="1:12">
      <c r="A7" s="11" t="s">
        <v>17</v>
      </c>
      <c r="B7" s="12">
        <v>1</v>
      </c>
      <c r="C7" s="12">
        <v>5</v>
      </c>
      <c r="D7" s="12"/>
      <c r="E7" s="12"/>
      <c r="F7" s="12"/>
      <c r="G7" s="12">
        <v>0.0999999999999999</v>
      </c>
      <c r="H7" s="12">
        <v>1.25</v>
      </c>
      <c r="I7" s="12">
        <v>10</v>
      </c>
      <c r="J7" s="14">
        <v>1</v>
      </c>
      <c r="K7" s="14">
        <v>1</v>
      </c>
      <c r="L7" s="14">
        <v>1</v>
      </c>
    </row>
    <row r="8" ht="15.75" customHeight="1" spans="1:12">
      <c r="A8" s="11" t="s">
        <v>18</v>
      </c>
      <c r="B8" s="12">
        <v>15</v>
      </c>
      <c r="C8" s="12">
        <v>75</v>
      </c>
      <c r="D8" s="12"/>
      <c r="E8" s="12"/>
      <c r="F8" s="12"/>
      <c r="G8" s="12">
        <v>1.5</v>
      </c>
      <c r="H8" s="12">
        <v>18.75</v>
      </c>
      <c r="I8" s="12">
        <v>10</v>
      </c>
      <c r="J8" s="12">
        <v>0</v>
      </c>
      <c r="K8" s="12">
        <v>0</v>
      </c>
      <c r="L8" s="12">
        <v>0</v>
      </c>
    </row>
    <row r="9" ht="15.75" customHeight="1" spans="1:12">
      <c r="A9" s="11" t="s">
        <v>19</v>
      </c>
      <c r="B9" s="12">
        <v>15</v>
      </c>
      <c r="C9" s="12">
        <v>75</v>
      </c>
      <c r="D9" s="12"/>
      <c r="E9" s="12"/>
      <c r="F9" s="12"/>
      <c r="G9" s="12">
        <v>1.5</v>
      </c>
      <c r="H9" s="12">
        <v>18.75</v>
      </c>
      <c r="I9" s="12">
        <v>10</v>
      </c>
      <c r="J9" s="12">
        <v>0</v>
      </c>
      <c r="K9" s="12">
        <v>0</v>
      </c>
      <c r="L9" s="12">
        <v>0</v>
      </c>
    </row>
    <row r="10" ht="15.75" customHeight="1" spans="1:12">
      <c r="A10" s="11" t="s">
        <v>20</v>
      </c>
      <c r="B10" s="12">
        <v>5</v>
      </c>
      <c r="C10" s="12">
        <v>25</v>
      </c>
      <c r="D10" s="12"/>
      <c r="E10" s="12"/>
      <c r="F10" s="12"/>
      <c r="G10" s="12">
        <v>0.5</v>
      </c>
      <c r="H10" s="12">
        <v>6.25</v>
      </c>
      <c r="I10" s="12">
        <v>10</v>
      </c>
      <c r="J10" s="12">
        <v>0</v>
      </c>
      <c r="K10" s="12">
        <v>0</v>
      </c>
      <c r="L10" s="12">
        <v>0</v>
      </c>
    </row>
    <row r="11" ht="15.75" customHeight="1" spans="1:12">
      <c r="A11" s="11" t="s">
        <v>21</v>
      </c>
      <c r="B11" s="12">
        <v>5</v>
      </c>
      <c r="C11" s="12">
        <v>25</v>
      </c>
      <c r="D11" s="12"/>
      <c r="E11" s="12"/>
      <c r="F11" s="12"/>
      <c r="G11" s="12">
        <v>0.5</v>
      </c>
      <c r="H11" s="12">
        <v>6.25</v>
      </c>
      <c r="I11" s="12">
        <v>10</v>
      </c>
      <c r="J11" s="12">
        <v>0</v>
      </c>
      <c r="K11" s="12">
        <v>0</v>
      </c>
      <c r="L11" s="14">
        <v>1</v>
      </c>
    </row>
    <row r="12" ht="15.75" customHeight="1" spans="1:12">
      <c r="A12" s="11" t="s">
        <v>22</v>
      </c>
      <c r="B12" s="12">
        <v>3</v>
      </c>
      <c r="C12" s="12">
        <v>15</v>
      </c>
      <c r="D12" s="12"/>
      <c r="E12" s="12"/>
      <c r="F12" s="12"/>
      <c r="G12" s="12">
        <v>0.3</v>
      </c>
      <c r="H12" s="12">
        <v>3.75</v>
      </c>
      <c r="I12" s="12">
        <v>10</v>
      </c>
      <c r="J12" s="12">
        <v>0</v>
      </c>
      <c r="K12" s="14">
        <v>1</v>
      </c>
      <c r="L12" s="14">
        <v>1</v>
      </c>
    </row>
    <row r="13" ht="15.75" customHeight="1" spans="1:12">
      <c r="A13" s="11" t="s">
        <v>23</v>
      </c>
      <c r="B13" s="12">
        <v>0.0999999999999999</v>
      </c>
      <c r="C13" s="12">
        <v>0.4</v>
      </c>
      <c r="D13" s="12">
        <v>0.0999999999999999</v>
      </c>
      <c r="E13" s="12">
        <v>0.7</v>
      </c>
      <c r="F13" s="12">
        <v>0.4</v>
      </c>
      <c r="G13" s="12">
        <v>0.0249999999999999</v>
      </c>
      <c r="H13" s="12">
        <v>0.0833333333333333</v>
      </c>
      <c r="I13" s="12"/>
      <c r="J13" s="14">
        <v>1</v>
      </c>
      <c r="K13" s="14">
        <v>1</v>
      </c>
      <c r="L13" s="14">
        <v>1</v>
      </c>
    </row>
    <row r="14" ht="15.75" customHeight="1" spans="1:12">
      <c r="A14" s="11" t="s">
        <v>24</v>
      </c>
      <c r="B14" s="12">
        <v>0.075</v>
      </c>
      <c r="C14" s="12">
        <v>0.3</v>
      </c>
      <c r="D14" s="12">
        <v>0.075</v>
      </c>
      <c r="E14" s="12">
        <v>0.075</v>
      </c>
      <c r="F14" s="12">
        <v>0.3</v>
      </c>
      <c r="G14" s="12"/>
      <c r="H14" s="12"/>
      <c r="I14" s="12"/>
      <c r="J14" s="12">
        <v>0</v>
      </c>
      <c r="K14" s="12">
        <v>0</v>
      </c>
      <c r="L14" s="12">
        <v>0</v>
      </c>
    </row>
    <row r="15" ht="15.75" customHeight="1" spans="1:12">
      <c r="A15" s="11" t="s">
        <v>25</v>
      </c>
      <c r="B15" s="12">
        <v>0.3</v>
      </c>
      <c r="C15" s="12">
        <v>2.5</v>
      </c>
      <c r="D15" s="12">
        <v>0.3</v>
      </c>
      <c r="E15" s="12">
        <v>1</v>
      </c>
      <c r="F15" s="12">
        <v>2.5</v>
      </c>
      <c r="G15" s="12">
        <v>0.03</v>
      </c>
      <c r="H15" s="12">
        <v>0.0833333333333333</v>
      </c>
      <c r="I15" s="12"/>
      <c r="J15" s="12">
        <v>0</v>
      </c>
      <c r="K15" s="14">
        <v>1</v>
      </c>
      <c r="L15" s="14">
        <v>1</v>
      </c>
    </row>
    <row r="16" ht="15.75" customHeight="1" spans="1:12">
      <c r="A16" s="11" t="s">
        <v>26</v>
      </c>
      <c r="B16" s="12">
        <v>0.0999999999999999</v>
      </c>
      <c r="C16" s="12">
        <v>0.4</v>
      </c>
      <c r="D16" s="12">
        <v>0.0999999999999999</v>
      </c>
      <c r="E16" s="12">
        <v>0.3</v>
      </c>
      <c r="F16" s="12">
        <v>0.4</v>
      </c>
      <c r="G16" s="12">
        <v>0.01</v>
      </c>
      <c r="H16" s="12">
        <v>0.0833333333333333</v>
      </c>
      <c r="I16" s="12"/>
      <c r="J16" s="12">
        <v>0</v>
      </c>
      <c r="K16" s="12">
        <v>0</v>
      </c>
      <c r="L16" s="12">
        <v>0</v>
      </c>
    </row>
    <row r="17" ht="15.75" customHeight="1" spans="1:12">
      <c r="A17" s="11" t="s">
        <v>27</v>
      </c>
      <c r="B17" s="12">
        <v>1.25</v>
      </c>
      <c r="C17" s="12">
        <v>10</v>
      </c>
      <c r="D17" s="12">
        <v>1.25</v>
      </c>
      <c r="E17" s="12">
        <v>1.25</v>
      </c>
      <c r="F17" s="12">
        <v>10</v>
      </c>
      <c r="G17" s="12">
        <v>0.125</v>
      </c>
      <c r="H17" s="12">
        <v>0.375</v>
      </c>
      <c r="I17" s="12"/>
      <c r="J17" s="12">
        <v>0</v>
      </c>
      <c r="K17" s="12">
        <v>0</v>
      </c>
      <c r="L17" s="12">
        <v>0</v>
      </c>
    </row>
    <row r="18" ht="15.75" customHeight="1" spans="1:12">
      <c r="A18" s="11" t="s">
        <v>28</v>
      </c>
      <c r="B18" s="12">
        <v>0.5</v>
      </c>
      <c r="C18" s="12">
        <v>3</v>
      </c>
      <c r="D18" s="12"/>
      <c r="E18" s="12"/>
      <c r="F18" s="12"/>
      <c r="G18" s="12"/>
      <c r="H18" s="12"/>
      <c r="I18" s="12"/>
      <c r="J18" s="12">
        <v>0</v>
      </c>
      <c r="K18" s="12">
        <v>0</v>
      </c>
      <c r="L18" s="12">
        <v>0</v>
      </c>
    </row>
    <row r="19" ht="15.75" customHeight="1" spans="1:12">
      <c r="A19" s="11" t="s">
        <v>29</v>
      </c>
      <c r="B19" s="12">
        <v>0.25</v>
      </c>
      <c r="C19" s="12">
        <v>1.5</v>
      </c>
      <c r="D19" s="12">
        <v>0.25</v>
      </c>
      <c r="E19" s="12">
        <v>0.5</v>
      </c>
      <c r="F19" s="12">
        <v>1.5</v>
      </c>
      <c r="G19" s="12">
        <v>0.0249999999999999</v>
      </c>
      <c r="H19" s="12">
        <v>0.0833333333333333</v>
      </c>
      <c r="I19" s="12"/>
      <c r="J19" s="12">
        <v>0</v>
      </c>
      <c r="K19" s="12">
        <v>0</v>
      </c>
      <c r="L19" s="12">
        <v>0</v>
      </c>
    </row>
    <row r="20" ht="15.75" customHeight="1" spans="1:12">
      <c r="A20" s="11" t="s">
        <v>30</v>
      </c>
      <c r="B20" s="12">
        <v>2</v>
      </c>
      <c r="C20" s="12">
        <v>12</v>
      </c>
      <c r="D20" s="12">
        <v>2</v>
      </c>
      <c r="E20" s="12">
        <v>2</v>
      </c>
      <c r="F20" s="12">
        <v>12</v>
      </c>
      <c r="G20" s="12">
        <v>0.2</v>
      </c>
      <c r="H20" s="12">
        <v>0.375</v>
      </c>
      <c r="I20" s="12"/>
      <c r="J20" s="12">
        <v>0</v>
      </c>
      <c r="K20" s="12">
        <v>0</v>
      </c>
      <c r="L20" s="12">
        <v>0</v>
      </c>
    </row>
    <row r="21" ht="15.75" customHeight="1" spans="1:12">
      <c r="A21" s="11" t="s">
        <v>31</v>
      </c>
      <c r="B21" s="12">
        <v>0.5</v>
      </c>
      <c r="C21" s="12">
        <v>3</v>
      </c>
      <c r="D21" s="12">
        <v>0.5</v>
      </c>
      <c r="E21" s="12">
        <v>1</v>
      </c>
      <c r="F21" s="12">
        <v>3</v>
      </c>
      <c r="G21" s="12">
        <v>0.0499999999999999</v>
      </c>
      <c r="H21" s="12">
        <v>0.0833333333333333</v>
      </c>
      <c r="I21" s="12"/>
      <c r="J21" s="12">
        <v>0</v>
      </c>
      <c r="K21" s="12">
        <v>0</v>
      </c>
      <c r="L21" s="12">
        <v>0</v>
      </c>
    </row>
    <row r="22" ht="15.75" customHeight="1" spans="1:12">
      <c r="A22" s="11" t="s">
        <v>32</v>
      </c>
      <c r="B22" s="12">
        <v>2</v>
      </c>
      <c r="C22" s="12">
        <v>12</v>
      </c>
      <c r="D22" s="12">
        <v>2</v>
      </c>
      <c r="E22" s="12">
        <v>2</v>
      </c>
      <c r="F22" s="12">
        <v>12</v>
      </c>
      <c r="G22" s="12">
        <v>0.2</v>
      </c>
      <c r="H22" s="12">
        <v>0.375</v>
      </c>
      <c r="I22" s="12"/>
      <c r="J22" s="12">
        <v>0</v>
      </c>
      <c r="K22" s="12">
        <v>0</v>
      </c>
      <c r="L22" s="12">
        <v>0</v>
      </c>
    </row>
    <row r="23" ht="15.75" customHeight="1" spans="1:12">
      <c r="A23" s="11" t="s">
        <v>33</v>
      </c>
      <c r="B23" s="12">
        <v>0.03</v>
      </c>
      <c r="C23" s="12">
        <v>0.11</v>
      </c>
      <c r="D23" s="12"/>
      <c r="E23" s="12"/>
      <c r="F23" s="12"/>
      <c r="G23" s="12">
        <v>0.015</v>
      </c>
      <c r="H23" s="12"/>
      <c r="I23" s="12"/>
      <c r="J23" s="12">
        <v>0</v>
      </c>
      <c r="K23" s="12">
        <v>0</v>
      </c>
      <c r="L23" s="12">
        <v>0</v>
      </c>
    </row>
    <row r="24" ht="15.75" customHeight="1" spans="1:12">
      <c r="A24" s="11" t="s">
        <v>34</v>
      </c>
      <c r="B24" s="12">
        <v>0.04</v>
      </c>
      <c r="C24" s="12">
        <v>0.08</v>
      </c>
      <c r="D24" s="12"/>
      <c r="E24" s="12"/>
      <c r="F24" s="12"/>
      <c r="G24" s="12"/>
      <c r="H24" s="12"/>
      <c r="I24" s="12"/>
      <c r="J24" s="12">
        <v>0</v>
      </c>
      <c r="K24" s="12">
        <v>0</v>
      </c>
      <c r="L24" s="12">
        <v>0</v>
      </c>
    </row>
    <row r="25" ht="15.75" customHeight="1" spans="1:12">
      <c r="A25" s="11" t="s">
        <v>35</v>
      </c>
      <c r="B25" s="12">
        <v>0</v>
      </c>
      <c r="C25" s="12">
        <v>0</v>
      </c>
      <c r="D25" s="12"/>
      <c r="E25" s="12"/>
      <c r="F25" s="12"/>
      <c r="G25" s="12"/>
      <c r="H25" s="12"/>
      <c r="I25" s="12"/>
      <c r="J25" s="12">
        <v>0</v>
      </c>
      <c r="K25" s="12">
        <v>0</v>
      </c>
      <c r="L25" s="12">
        <v>0</v>
      </c>
    </row>
    <row r="26" ht="15.75" customHeight="1" spans="1:12">
      <c r="A26" s="11" t="s">
        <v>36</v>
      </c>
      <c r="B26" s="12">
        <v>0.02</v>
      </c>
      <c r="C26" s="12">
        <v>0.04</v>
      </c>
      <c r="D26" s="12"/>
      <c r="E26" s="12"/>
      <c r="F26" s="12"/>
      <c r="G26" s="12"/>
      <c r="H26" s="12"/>
      <c r="I26" s="12"/>
      <c r="J26" s="12">
        <v>0</v>
      </c>
      <c r="K26" s="12">
        <v>0</v>
      </c>
      <c r="L26" s="12">
        <v>0</v>
      </c>
    </row>
    <row r="27" ht="15.75" customHeight="1" spans="1:12">
      <c r="A27" s="11" t="s">
        <v>37</v>
      </c>
      <c r="B27" s="12">
        <v>1</v>
      </c>
      <c r="C27" s="12">
        <v>2</v>
      </c>
      <c r="D27" s="12"/>
      <c r="E27" s="12"/>
      <c r="F27" s="12"/>
      <c r="G27" s="12"/>
      <c r="H27" s="12"/>
      <c r="I27" s="12"/>
      <c r="J27" s="12">
        <v>0</v>
      </c>
      <c r="K27" s="12">
        <v>0</v>
      </c>
      <c r="L27" s="12">
        <v>0</v>
      </c>
    </row>
    <row r="28" ht="15.75" customHeight="1" spans="1:12">
      <c r="A28" s="11" t="s">
        <v>38</v>
      </c>
      <c r="B28" s="12">
        <v>2</v>
      </c>
      <c r="C28" s="12">
        <v>8</v>
      </c>
      <c r="D28" s="12"/>
      <c r="E28" s="12"/>
      <c r="F28" s="12"/>
      <c r="G28" s="12">
        <v>0.5</v>
      </c>
      <c r="H28" s="12"/>
      <c r="I28" s="12">
        <v>10</v>
      </c>
      <c r="J28" s="12">
        <v>0</v>
      </c>
      <c r="K28" s="14">
        <v>1</v>
      </c>
      <c r="L28" s="14">
        <v>1</v>
      </c>
    </row>
    <row r="29" ht="15.75" customHeight="1" spans="1:12">
      <c r="A29" s="11" t="s">
        <v>39</v>
      </c>
      <c r="B29" s="12">
        <v>0.4</v>
      </c>
      <c r="C29" s="12">
        <v>1.6</v>
      </c>
      <c r="D29" s="12"/>
      <c r="E29" s="12"/>
      <c r="F29" s="12"/>
      <c r="G29" s="12">
        <v>0.0999999999999999</v>
      </c>
      <c r="H29" s="12"/>
      <c r="I29" s="12">
        <v>10</v>
      </c>
      <c r="J29" s="14">
        <v>1</v>
      </c>
      <c r="K29" s="14">
        <v>1</v>
      </c>
      <c r="L29" s="14">
        <v>1</v>
      </c>
    </row>
    <row r="30" ht="15.75" customHeight="1" spans="1:12">
      <c r="A30" s="11" t="s">
        <v>40</v>
      </c>
      <c r="B30" s="12">
        <v>0.15</v>
      </c>
      <c r="C30" s="12">
        <v>0.6</v>
      </c>
      <c r="D30" s="12"/>
      <c r="E30" s="12"/>
      <c r="F30" s="12"/>
      <c r="G30" s="12">
        <v>0.075</v>
      </c>
      <c r="H30" s="12"/>
      <c r="I30" s="12"/>
      <c r="J30" s="12">
        <v>0</v>
      </c>
      <c r="K30" s="12">
        <v>0</v>
      </c>
      <c r="L30" s="12">
        <v>0</v>
      </c>
    </row>
    <row r="31" ht="15.75" customHeight="1" spans="1:12">
      <c r="A31" s="11" t="s">
        <v>41</v>
      </c>
      <c r="B31" s="12">
        <v>10</v>
      </c>
      <c r="C31" s="12">
        <v>30</v>
      </c>
      <c r="D31" s="12"/>
      <c r="E31" s="12"/>
      <c r="F31" s="12"/>
      <c r="G31" s="12"/>
      <c r="H31" s="12"/>
      <c r="I31" s="12"/>
      <c r="J31" s="12">
        <v>0</v>
      </c>
      <c r="K31" s="12">
        <v>0</v>
      </c>
      <c r="L31" s="12">
        <v>0</v>
      </c>
    </row>
    <row r="32" ht="15.75" customHeight="1" spans="1:12">
      <c r="A32" s="11" t="s">
        <v>42</v>
      </c>
      <c r="B32" s="12">
        <v>1.25</v>
      </c>
      <c r="C32" s="12">
        <v>10</v>
      </c>
      <c r="D32" s="12"/>
      <c r="E32" s="12"/>
      <c r="F32" s="12"/>
      <c r="G32" s="12">
        <v>0.125</v>
      </c>
      <c r="H32" s="12"/>
      <c r="I32" s="12"/>
      <c r="J32" s="12">
        <v>0</v>
      </c>
      <c r="K32" s="12">
        <v>0</v>
      </c>
      <c r="L32" s="12">
        <v>0</v>
      </c>
    </row>
    <row r="33" ht="15.75" customHeight="1" spans="1:12">
      <c r="A33" s="11" t="s">
        <v>43</v>
      </c>
      <c r="B33" s="12">
        <v>1.25</v>
      </c>
      <c r="C33" s="12">
        <v>10</v>
      </c>
      <c r="D33" s="12"/>
      <c r="E33" s="12"/>
      <c r="F33" s="12"/>
      <c r="G33" s="12">
        <v>0.125</v>
      </c>
      <c r="H33" s="12"/>
      <c r="I33" s="12">
        <v>10</v>
      </c>
      <c r="J33" s="12">
        <v>0</v>
      </c>
      <c r="K33" s="12">
        <v>0</v>
      </c>
      <c r="L33" s="14">
        <v>1</v>
      </c>
    </row>
    <row r="34" ht="15.75" customHeight="1" spans="1:12">
      <c r="A34" s="11" t="s">
        <v>44</v>
      </c>
      <c r="B34" s="12">
        <v>2.5</v>
      </c>
      <c r="C34" s="12">
        <v>15</v>
      </c>
      <c r="D34" s="12"/>
      <c r="E34" s="12"/>
      <c r="F34" s="12"/>
      <c r="G34" s="12">
        <v>0.25</v>
      </c>
      <c r="H34" s="12"/>
      <c r="I34" s="12">
        <v>10</v>
      </c>
      <c r="J34" s="12">
        <v>0</v>
      </c>
      <c r="K34" s="12">
        <v>0</v>
      </c>
      <c r="L34" s="12">
        <v>0</v>
      </c>
    </row>
    <row r="35" ht="15.75" customHeight="1" spans="1:12">
      <c r="A35" s="11" t="s">
        <v>45</v>
      </c>
      <c r="B35" s="12">
        <v>10</v>
      </c>
      <c r="C35" s="12">
        <v>10</v>
      </c>
      <c r="D35" s="12"/>
      <c r="E35" s="12"/>
      <c r="F35" s="12"/>
      <c r="G35" s="12">
        <v>1.25</v>
      </c>
      <c r="H35" s="12"/>
      <c r="I35" s="12">
        <v>10</v>
      </c>
      <c r="J35" s="12">
        <v>0</v>
      </c>
      <c r="K35" s="12">
        <v>0</v>
      </c>
      <c r="L35" s="12">
        <v>0</v>
      </c>
    </row>
    <row r="36" ht="15.75" customHeight="1" spans="1:12">
      <c r="A36" s="11" t="s">
        <v>46</v>
      </c>
      <c r="B36" s="12">
        <v>0.25</v>
      </c>
      <c r="C36" s="12">
        <v>2</v>
      </c>
      <c r="D36" s="12"/>
      <c r="E36" s="12"/>
      <c r="F36" s="12"/>
      <c r="G36" s="12">
        <v>0.0249999999999999</v>
      </c>
      <c r="H36" s="12"/>
      <c r="I36" s="12">
        <v>10</v>
      </c>
      <c r="J36" s="12">
        <v>0</v>
      </c>
      <c r="K36" s="12">
        <v>0</v>
      </c>
      <c r="L36" s="12">
        <v>0</v>
      </c>
    </row>
    <row r="37" ht="15.75" customHeight="1" spans="1:12">
      <c r="A37" s="11" t="s">
        <v>47</v>
      </c>
      <c r="B37" s="12">
        <v>0.0499999999999999</v>
      </c>
      <c r="C37" s="12">
        <v>0.4</v>
      </c>
      <c r="D37" s="12"/>
      <c r="E37" s="12"/>
      <c r="F37" s="12"/>
      <c r="G37" s="12">
        <v>0.005</v>
      </c>
      <c r="H37" s="12"/>
      <c r="I37" s="12">
        <v>10</v>
      </c>
      <c r="J37" s="12">
        <v>0</v>
      </c>
      <c r="K37" s="12">
        <v>0</v>
      </c>
      <c r="L37" s="12">
        <v>0</v>
      </c>
    </row>
    <row r="38" ht="15.75" customHeight="1" spans="1:12">
      <c r="A38" s="11" t="s">
        <v>48</v>
      </c>
      <c r="B38" s="12">
        <v>0.039</v>
      </c>
      <c r="C38" s="12">
        <v>0.19</v>
      </c>
      <c r="D38" s="12"/>
      <c r="E38" s="12"/>
      <c r="F38" s="12"/>
      <c r="G38" s="12"/>
      <c r="H38" s="12"/>
      <c r="I38" s="12"/>
      <c r="J38" s="12">
        <v>0</v>
      </c>
      <c r="K38" s="12">
        <v>0</v>
      </c>
      <c r="L38" s="12">
        <v>0</v>
      </c>
    </row>
    <row r="39" ht="15.75" customHeight="1" spans="1:12">
      <c r="A39" s="11" t="s">
        <v>49</v>
      </c>
      <c r="B39" s="12">
        <v>2</v>
      </c>
      <c r="C39" s="12">
        <v>8</v>
      </c>
      <c r="D39" s="12"/>
      <c r="E39" s="12"/>
      <c r="F39" s="12"/>
      <c r="G39" s="12">
        <v>0.5</v>
      </c>
      <c r="H39" s="12"/>
      <c r="I39" s="12">
        <v>10</v>
      </c>
      <c r="J39" s="12">
        <v>0</v>
      </c>
      <c r="K39" s="12">
        <v>0</v>
      </c>
      <c r="L39" s="14">
        <v>1</v>
      </c>
    </row>
    <row r="40" ht="15.75" customHeight="1" spans="1:12">
      <c r="A40" s="11" t="s">
        <v>50</v>
      </c>
      <c r="B40" s="12">
        <v>1.1</v>
      </c>
      <c r="C40" s="12">
        <v>4.4</v>
      </c>
      <c r="D40" s="12"/>
      <c r="E40" s="12"/>
      <c r="F40" s="12"/>
      <c r="G40" s="12">
        <v>0.55</v>
      </c>
      <c r="H40" s="12"/>
      <c r="I40" s="12"/>
      <c r="J40" s="12">
        <v>0</v>
      </c>
      <c r="K40" s="12">
        <v>0</v>
      </c>
      <c r="L40" s="12">
        <v>0</v>
      </c>
    </row>
    <row r="41" ht="15.75" customHeight="1" spans="1:12">
      <c r="A41" s="11" t="s">
        <v>51</v>
      </c>
      <c r="B41" s="12">
        <v>1.1</v>
      </c>
      <c r="C41" s="12">
        <v>4.4</v>
      </c>
      <c r="D41" s="12"/>
      <c r="E41" s="12"/>
      <c r="F41" s="12"/>
      <c r="G41" s="12">
        <v>0.55</v>
      </c>
      <c r="H41" s="12"/>
      <c r="I41" s="12"/>
      <c r="J41" s="12">
        <v>0</v>
      </c>
      <c r="K41" s="12">
        <v>0</v>
      </c>
      <c r="L41" s="12">
        <v>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showGridLines="0" tabSelected="1" workbookViewId="0">
      <selection activeCell="A1" sqref="A1"/>
    </sheetView>
  </sheetViews>
  <sheetFormatPr defaultColWidth="8.68181818181818" defaultRowHeight="14.5" outlineLevelCol="3"/>
  <cols>
    <col min="1" max="1" width="28" customWidth="1"/>
    <col min="2" max="4" width="16" customWidth="1"/>
  </cols>
  <sheetData>
    <row r="1" ht="21.75" customHeight="1" spans="1:4">
      <c r="A1" s="1" t="s">
        <v>52</v>
      </c>
      <c r="B1" s="1" t="s">
        <v>53</v>
      </c>
      <c r="C1" s="1" t="s">
        <v>54</v>
      </c>
      <c r="D1" s="1" t="s">
        <v>55</v>
      </c>
    </row>
    <row r="2" ht="18" customHeight="1" spans="1:1">
      <c r="A2" s="2" t="s">
        <v>56</v>
      </c>
    </row>
    <row r="3" ht="15.75" customHeight="1" spans="1:4">
      <c r="A3" s="3" t="s">
        <v>14</v>
      </c>
      <c r="B3" s="4" t="s">
        <v>57</v>
      </c>
      <c r="C3" s="5">
        <f>pricing_db!B4</f>
        <v>3</v>
      </c>
      <c r="D3" s="5">
        <f>pricing_db!B4</f>
        <v>3</v>
      </c>
    </row>
    <row r="4" ht="15.75" customHeight="1" spans="1:4">
      <c r="A4" s="3" t="s">
        <v>17</v>
      </c>
      <c r="B4" s="5">
        <f>pricing_db!B7</f>
        <v>1</v>
      </c>
      <c r="C4" s="5">
        <f>pricing_db!B7</f>
        <v>1</v>
      </c>
      <c r="D4" s="5">
        <f>pricing_db!B7</f>
        <v>1</v>
      </c>
    </row>
    <row r="5" ht="15.75" customHeight="1" spans="1:4">
      <c r="A5" s="3" t="s">
        <v>21</v>
      </c>
      <c r="B5" s="4" t="s">
        <v>57</v>
      </c>
      <c r="C5" s="4" t="s">
        <v>57</v>
      </c>
      <c r="D5" s="5">
        <f>pricing_db!B11</f>
        <v>5</v>
      </c>
    </row>
    <row r="6" ht="15.75" customHeight="1" spans="1:4">
      <c r="A6" s="3" t="s">
        <v>22</v>
      </c>
      <c r="B6" s="4" t="s">
        <v>57</v>
      </c>
      <c r="C6" s="5">
        <f>pricing_db!B12</f>
        <v>3</v>
      </c>
      <c r="D6" s="5">
        <f>pricing_db!B12</f>
        <v>3</v>
      </c>
    </row>
    <row r="7" ht="15.75" customHeight="1" spans="1:4">
      <c r="A7" s="3" t="s">
        <v>23</v>
      </c>
      <c r="B7" s="5">
        <f>pricing_db!B13</f>
        <v>0.0999999999999999</v>
      </c>
      <c r="C7" s="5">
        <f>pricing_db!B13</f>
        <v>0.0999999999999999</v>
      </c>
      <c r="D7" s="5">
        <f>pricing_db!B13</f>
        <v>0.0999999999999999</v>
      </c>
    </row>
    <row r="8" ht="15.75" customHeight="1" spans="1:4">
      <c r="A8" s="3" t="s">
        <v>25</v>
      </c>
      <c r="B8" s="4" t="s">
        <v>57</v>
      </c>
      <c r="C8" s="5">
        <f>pricing_db!B15</f>
        <v>0.3</v>
      </c>
      <c r="D8" s="5">
        <f>pricing_db!B15</f>
        <v>0.3</v>
      </c>
    </row>
    <row r="9" ht="15.75" customHeight="1" spans="1:4">
      <c r="A9" s="3" t="s">
        <v>38</v>
      </c>
      <c r="B9" s="4" t="s">
        <v>57</v>
      </c>
      <c r="C9" s="5">
        <f>pricing_db!B28</f>
        <v>2</v>
      </c>
      <c r="D9" s="5">
        <f>pricing_db!B28</f>
        <v>2</v>
      </c>
    </row>
    <row r="10" ht="15.75" customHeight="1" spans="1:4">
      <c r="A10" s="3" t="s">
        <v>39</v>
      </c>
      <c r="B10" s="5">
        <f>pricing_db!B29</f>
        <v>0.4</v>
      </c>
      <c r="C10" s="5">
        <f>pricing_db!B29</f>
        <v>0.4</v>
      </c>
      <c r="D10" s="5">
        <f>pricing_db!B29</f>
        <v>0.4</v>
      </c>
    </row>
    <row r="11" ht="15.75" customHeight="1" spans="1:4">
      <c r="A11" s="3" t="s">
        <v>43</v>
      </c>
      <c r="B11" s="4" t="s">
        <v>57</v>
      </c>
      <c r="C11" s="4" t="s">
        <v>57</v>
      </c>
      <c r="D11" s="5">
        <f>pricing_db!B33</f>
        <v>1.25</v>
      </c>
    </row>
    <row r="12" ht="15.75" customHeight="1" spans="1:4">
      <c r="A12" s="3" t="s">
        <v>49</v>
      </c>
      <c r="B12" s="4" t="s">
        <v>57</v>
      </c>
      <c r="C12" s="4" t="s">
        <v>57</v>
      </c>
      <c r="D12" s="5">
        <f>pricing_db!B39</f>
        <v>2</v>
      </c>
    </row>
    <row r="14" ht="18" customHeight="1" spans="1:1">
      <c r="A14" s="2" t="s">
        <v>58</v>
      </c>
    </row>
    <row r="15" ht="15.75" customHeight="1" spans="1:4">
      <c r="A15" s="3" t="s">
        <v>14</v>
      </c>
      <c r="B15" s="4" t="s">
        <v>57</v>
      </c>
      <c r="C15" s="5">
        <f>pricing_db!C4</f>
        <v>15</v>
      </c>
      <c r="D15" s="5">
        <f>pricing_db!C4</f>
        <v>15</v>
      </c>
    </row>
    <row r="16" ht="15.75" customHeight="1" spans="1:4">
      <c r="A16" s="3" t="s">
        <v>17</v>
      </c>
      <c r="B16" s="5">
        <f>pricing_db!C7</f>
        <v>5</v>
      </c>
      <c r="C16" s="5">
        <f>pricing_db!C7</f>
        <v>5</v>
      </c>
      <c r="D16" s="5">
        <f>pricing_db!C7</f>
        <v>5</v>
      </c>
    </row>
    <row r="17" ht="15.75" customHeight="1" spans="1:4">
      <c r="A17" s="3" t="s">
        <v>21</v>
      </c>
      <c r="B17" s="4" t="s">
        <v>57</v>
      </c>
      <c r="C17" s="4" t="s">
        <v>57</v>
      </c>
      <c r="D17" s="5">
        <f>pricing_db!C11</f>
        <v>25</v>
      </c>
    </row>
    <row r="18" ht="15.75" customHeight="1" spans="1:4">
      <c r="A18" s="3" t="s">
        <v>22</v>
      </c>
      <c r="B18" s="4" t="s">
        <v>57</v>
      </c>
      <c r="C18" s="5">
        <f>pricing_db!C12</f>
        <v>15</v>
      </c>
      <c r="D18" s="5">
        <f>pricing_db!C12</f>
        <v>15</v>
      </c>
    </row>
    <row r="19" ht="15.75" customHeight="1" spans="1:4">
      <c r="A19" s="3" t="s">
        <v>23</v>
      </c>
      <c r="B19" s="5">
        <f>pricing_db!C13</f>
        <v>0.4</v>
      </c>
      <c r="C19" s="5">
        <f>pricing_db!C13</f>
        <v>0.4</v>
      </c>
      <c r="D19" s="5">
        <f>pricing_db!C13</f>
        <v>0.4</v>
      </c>
    </row>
    <row r="20" ht="15.75" customHeight="1" spans="1:4">
      <c r="A20" s="3" t="s">
        <v>25</v>
      </c>
      <c r="B20" s="4" t="s">
        <v>57</v>
      </c>
      <c r="C20" s="5">
        <f>pricing_db!C15</f>
        <v>2.5</v>
      </c>
      <c r="D20" s="5">
        <f>pricing_db!C15</f>
        <v>2.5</v>
      </c>
    </row>
    <row r="21" ht="15.75" customHeight="1" spans="1:4">
      <c r="A21" s="3" t="s">
        <v>38</v>
      </c>
      <c r="B21" s="4" t="s">
        <v>57</v>
      </c>
      <c r="C21" s="5">
        <f>pricing_db!C28</f>
        <v>8</v>
      </c>
      <c r="D21" s="5">
        <f>pricing_db!C28</f>
        <v>8</v>
      </c>
    </row>
    <row r="22" ht="15.75" customHeight="1" spans="1:4">
      <c r="A22" s="3" t="s">
        <v>39</v>
      </c>
      <c r="B22" s="5">
        <f>pricing_db!C29</f>
        <v>1.6</v>
      </c>
      <c r="C22" s="5">
        <f>pricing_db!C29</f>
        <v>1.6</v>
      </c>
      <c r="D22" s="5">
        <f>pricing_db!C29</f>
        <v>1.6</v>
      </c>
    </row>
    <row r="23" ht="15.75" customHeight="1" spans="1:4">
      <c r="A23" s="3" t="s">
        <v>43</v>
      </c>
      <c r="B23" s="4" t="s">
        <v>57</v>
      </c>
      <c r="C23" s="4" t="s">
        <v>57</v>
      </c>
      <c r="D23" s="5">
        <f>pricing_db!C33</f>
        <v>10</v>
      </c>
    </row>
    <row r="24" ht="15.75" customHeight="1" spans="1:4">
      <c r="A24" s="3" t="s">
        <v>49</v>
      </c>
      <c r="B24" s="4" t="s">
        <v>57</v>
      </c>
      <c r="C24" s="4" t="s">
        <v>57</v>
      </c>
      <c r="D24" s="5">
        <f>pricing_db!C39</f>
        <v>8</v>
      </c>
    </row>
    <row r="26" ht="18" customHeight="1" spans="1:1">
      <c r="A26" s="2" t="s">
        <v>59</v>
      </c>
    </row>
    <row r="27" ht="15.75" customHeight="1" spans="1:4">
      <c r="A27" s="6" t="s">
        <v>60</v>
      </c>
      <c r="B27" s="6"/>
      <c r="C27" s="6"/>
      <c r="D27" s="6"/>
    </row>
    <row r="28" ht="18" customHeight="1" spans="1:4">
      <c r="A28" s="7" t="s">
        <v>61</v>
      </c>
      <c r="B28" s="5">
        <f>(pricing_db!B7+pricing_db!B13+pricing_db!B29)/3</f>
        <v>0.5</v>
      </c>
      <c r="C28" s="5">
        <f>(pricing_db!B4+pricing_db!B7+pricing_db!B12+pricing_db!B13+pricing_db!B15+pricing_db!B28+pricing_db!B29)/7</f>
        <v>1.4</v>
      </c>
      <c r="D28" s="5">
        <f>(pricing_db!B4+pricing_db!B7+pricing_db!B11+pricing_db!B12+pricing_db!B13+pricing_db!B15+pricing_db!B28+pricing_db!B29+pricing_db!B33+pricing_db!B39)/10</f>
        <v>1.805</v>
      </c>
    </row>
    <row r="29" ht="18" customHeight="1" spans="1:4">
      <c r="A29" s="7" t="s">
        <v>62</v>
      </c>
      <c r="B29" s="5">
        <f>(pricing_db!C7+pricing_db!C13+pricing_db!C29)/3</f>
        <v>2.33333333333333</v>
      </c>
      <c r="C29" s="5">
        <f>(pricing_db!C4+pricing_db!C7+pricing_db!C12+pricing_db!C13+pricing_db!C15+pricing_db!C28+pricing_db!C29)/7</f>
        <v>6.78571428571429</v>
      </c>
      <c r="D29" s="5">
        <f>(pricing_db!C4+pricing_db!C7+pricing_db!C11+pricing_db!C12+pricing_db!C13+pricing_db!C15+pricing_db!C28+pricing_db!C29+pricing_db!C33+pricing_db!C39)/10</f>
        <v>9.05</v>
      </c>
    </row>
    <row r="30" ht="19.5" customHeight="1" spans="1:4">
      <c r="A30" s="8" t="s">
        <v>63</v>
      </c>
      <c r="B30" s="9">
        <f>(((pricing_db!B7+pricing_db!B13+pricing_db!B29)/3)*300/1000+((pricing_db!C7+pricing_db!C13+pricing_db!C29)/3)*100/1000)*7.3</f>
        <v>2.79833333333333</v>
      </c>
      <c r="C30" s="9">
        <f>(((pricing_db!B4+pricing_db!B7+pricing_db!B12+pricing_db!B13+pricing_db!B15+pricing_db!B28+pricing_db!B29)/7)*300/1000+((pricing_db!C4+pricing_db!C7+pricing_db!C12+pricing_db!C13+pricing_db!C15+pricing_db!C28+pricing_db!C29)/7)*100/1000)*7.3</f>
        <v>8.01957142857143</v>
      </c>
      <c r="D30" s="9">
        <f>(((pricing_db!B4+pricing_db!B7+pricing_db!B11+pricing_db!B12+pricing_db!B13+pricing_db!B15+pricing_db!B28+pricing_db!B29+pricing_db!B33+pricing_db!B39)/10)*300/1000+((pricing_db!C4+pricing_db!C7+pricing_db!C11+pricing_db!C12+pricing_db!C13+pricing_db!C15+pricing_db!C28+pricing_db!C29+pricing_db!C33+pricing_db!C39)/10)*100/1000)*7.3</f>
        <v>10.55945</v>
      </c>
    </row>
  </sheetData>
  <mergeCells count="1">
    <mergeCell ref="A27:D27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pricing_db</vt:lpstr>
      <vt:lpstr>成本汇总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WPS_1617094814</cp:lastModifiedBy>
  <cp:revision>0</cp:revision>
  <dcterms:created xsi:type="dcterms:W3CDTF">2026-03-14T08:16:00Z</dcterms:created>
  <dcterms:modified xsi:type="dcterms:W3CDTF">2026-03-14T08:17:19Z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54E495660EA54185A5CE2F11EB1C852D_12</vt:lpwstr>
  </property>
  <property fmtid="{D5CDD505-2E9C-101B-9397-08002B2CF9AE}" pid="3" name="KSOProductBuildVer">
    <vt:lpwstr>2052-12.1.0.19770</vt:lpwstr>
  </property>
</Properties>
</file>